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13_ncr:1_{D1061658-FBDB-4991-A766-82EEA0AD62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IPM 2023" sheetId="1" r:id="rId1"/>
    <sheet name="Statistik Deskriptif" sheetId="2" r:id="rId2"/>
    <sheet name="Panduan &amp; Sumber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I39" i="1"/>
  <c r="H39" i="1"/>
  <c r="G39" i="1"/>
  <c r="F39" i="1"/>
  <c r="E39" i="1"/>
  <c r="D39" i="1"/>
  <c r="C39" i="1"/>
</calcChain>
</file>

<file path=xl/sharedStrings.xml><?xml version="1.0" encoding="utf-8"?>
<sst xmlns="http://schemas.openxmlformats.org/spreadsheetml/2006/main" count="102" uniqueCount="96">
  <si>
    <t>DATA FAKTOR-FAKTOR YANG MEMPENGARUHI INDEKS PEMBANGUNAN MANUSIA (IPM)</t>
  </si>
  <si>
    <t>ANTAR PROVINSI DI INDONESIA TAHUN 2023</t>
  </si>
  <si>
    <t>Sumber: Badan Pusat Statistik (BPS) Indonesia</t>
  </si>
  <si>
    <t>No</t>
  </si>
  <si>
    <t>Provinsi</t>
  </si>
  <si>
    <t>IPM
(Y)</t>
  </si>
  <si>
    <t>Umur Harapan
Hidup (X1)
(tahun)</t>
  </si>
  <si>
    <t>Harapan Lama
Sekolah (X2)
(tahun)</t>
  </si>
  <si>
    <t>Rata-Rata Lama
Sekolah (X3)
(tahun)</t>
  </si>
  <si>
    <t>Pengeluaran
Per Kapita (X4)
(ribu Rp/tahun)</t>
  </si>
  <si>
    <t>% Penduduk
Miskin (X5)
(%)</t>
  </si>
  <si>
    <t>Tingkat Peng-
angguran (X6)
(%)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</si>
  <si>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</si>
  <si>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</si>
  <si>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</si>
  <si>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</si>
  <si>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</si>
  <si>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</si>
  <si>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</si>
  <si>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</si>
  <si>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</si>
  <si>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</si>
  <si>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</si>
  <si>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</si>
  <si>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</si>
  <si>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</si>
  <si>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</si>
  <si>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</si>
  <si>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</si>
  <si>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</si>
  <si>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</si>
  <si>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</si>
  <si>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</si>
  <si>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</si>
  <si>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</si>
  <si>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</si>
  <si>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</si>
  <si>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</si>
  <si>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</si>
  <si>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</si>
  <si>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</si>
  <si>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</si>
  <si>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</si>
  <si>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</si>
  <si>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</si>
  <si>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</si>
  <si>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Rata-Rata</t>
  </si>
  <si>
    <t>Keterangan:</t>
  </si>
  <si>
    <t>Y   = Indeks Pembangunan Manusia (IPM) — Sumber: BPS, Publikasi IPM 2023</t>
  </si>
  <si>
    <t>X1  = Angka Harapan Hidup saat Lahir (AHH) dalam tahun — Sumber: BPS, Publikasi IPM 2023</t>
  </si>
  <si>
    <t>X2  = Harapan Lama Sekolah (HLS) dalam tahun — Sumber: BPS, Publikasi IPM 2023</t>
  </si>
  <si>
    <t>X3  = Rata-Rata Lama Sekolah (RLS) dalam tahun — Sumber: BPS, Publikasi IPM 2023</t>
  </si>
  <si>
    <t>X4  = Pengeluaran Per Kapita Disesuaikan (PPP) dalam ribu Rp/tahun — Sumber: BPS, Susenas 2023</t>
  </si>
  <si>
    <t>X5  = Persentase Penduduk Miskin (Maret 2023) — Sumber: BPS, Data Kemiskinan 2023</t>
  </si>
  <si>
    <t>X6  = Tingkat Pengangguran Terbuka / TPT (Februari 2023) — Sumber: BPS, Sakernas 2023</t>
  </si>
  <si>
    <t>STATISTIK DESKRIPTIF — DATA IPM 34 PROVINSI INDONESIA TAHUN 2023</t>
  </si>
  <si>
    <t>Statistik</t>
  </si>
  <si>
    <t>IPM (Y)</t>
  </si>
  <si>
    <t>AHH (X1)</t>
  </si>
  <si>
    <t>HLS (X2)</t>
  </si>
  <si>
    <t>RLS (X3)</t>
  </si>
  <si>
    <t>Pengeluaran/Kapita (X4)</t>
  </si>
  <si>
    <t>% Miskin (X5)</t>
  </si>
  <si>
    <t>TPT (X6)</t>
  </si>
  <si>
    <t>N (Observasi)</t>
  </si>
  <si>
    <t>Maksimum</t>
  </si>
  <si>
    <t>Minimum</t>
  </si>
  <si>
    <t>Std. Deviasi</t>
  </si>
  <si>
    <t>PANDUAN PENGAMBILAN DATA — SUMBER BPS INDONESIA</t>
  </si>
  <si>
    <t>Variabel</t>
  </si>
  <si>
    <t>Keterangan</t>
  </si>
  <si>
    <t>Tahun Data</t>
  </si>
  <si>
    <t>Link Sumber BPS</t>
  </si>
  <si>
    <t>Y: IPM</t>
  </si>
  <si>
    <t>Indeks Pembangunan Manusia per Provinsi
(metode baru, rata-rata geometrik)</t>
  </si>
  <si>
    <t>2023</t>
  </si>
  <si>
    <t>https://www.bps.go.id/indicator/26/494/1/</t>
  </si>
  <si>
    <t>X1: AHH</t>
  </si>
  <si>
    <t>Angka Harapan Hidup saat Lahir (tahun)
Komponen kesehatan IPM</t>
  </si>
  <si>
    <t>https://www.bps.go.id/indicator/26/415/1/</t>
  </si>
  <si>
    <t>X2: HLS</t>
  </si>
  <si>
    <t>Harapan Lama Sekolah (tahun)
Komponen pendidikan IPM</t>
  </si>
  <si>
    <t>https://www.bps.go.id/indicator/26/493/1/</t>
  </si>
  <si>
    <t>X3: RLS</t>
  </si>
  <si>
    <t>Rata-Rata Lama Sekolah (tahun)
Komponen pendidikan IPM</t>
  </si>
  <si>
    <t>https://www.bps.go.id/indicator/26/416/1/</t>
  </si>
  <si>
    <t>X4: Pengeluaran/Kapita</t>
  </si>
  <si>
    <t>Pengeluaran Per Kapita Disesuaikan (ribu Rp/tahun)
Komponen ekonomi IPM — dari Susenas</t>
  </si>
  <si>
    <t>X5: % Kemiskinan</t>
  </si>
  <si>
    <t>Persentase Penduduk Miskin per Provinsi
Data Maret 2023 — dari Susenas</t>
  </si>
  <si>
    <t>Maret 2023</t>
  </si>
  <si>
    <t>https://www.bps.go.id/subject/23/kemiskinan-dan-ketimpangan.html</t>
  </si>
  <si>
    <t>X6: TPT</t>
  </si>
  <si>
    <t>Tingkat Pengangguran Terbuka (%)
Angkatan kerja yang mencari pekerjaan — dari Sakernas</t>
  </si>
  <si>
    <t>Feb 2023</t>
  </si>
  <si>
    <t>https://www.bps.go.id/indicator/6/543/1/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</si>
</sst>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404040"/>
      <name val="Arial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K6" sqref="K6"/>
    </sheetView>
  </sheetViews>
  <sheetFormatPr defaultRowHeight="14.5" x14ac:dyDescent="0.35"/>
  <cols>
    <col min="1" max="1" width="5" customWidth="1"/>
    <col min="2" max="2" width="24" customWidth="1"/>
    <col min="3" max="3" width="9" customWidth="1"/>
    <col min="4" max="6" width="14" customWidth="1"/>
    <col min="7" max="7" width="15" customWidth="1"/>
    <col min="8" max="9" width="12" customWidth="1"/>
  </cols>
  <sheetData>
    <row r="1" spans="1:9" ht="28" customHeight="1" x14ac:dyDescent="0.35">
      <c r="A1" s="23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4" customHeight="1" x14ac:dyDescent="0.35">
      <c r="A2" s="23" t="s">
        <v>1</v>
      </c>
      <c r="B2" s="22"/>
      <c r="C2" s="22"/>
      <c r="D2" s="22"/>
      <c r="E2" s="22"/>
      <c r="F2" s="22"/>
      <c r="G2" s="22"/>
      <c r="H2" s="22"/>
      <c r="I2" s="22"/>
    </row>
    <row r="3" spans="1:9" ht="18" customHeight="1" x14ac:dyDescent="0.35">
      <c r="A3" s="24" t="s">
        <v>2</v>
      </c>
      <c r="B3" s="22"/>
      <c r="C3" s="22"/>
      <c r="D3" s="22"/>
      <c r="E3" s="22"/>
      <c r="F3" s="22"/>
      <c r="G3" s="22"/>
      <c r="H3" s="22"/>
      <c r="I3" s="22"/>
    </row>
    <row r="4" spans="1:9" ht="55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18" customHeight="1" x14ac:dyDescent="0.35">
      <c r="A5" s="2">
        <v>1</v>
      </c>
      <c r="B5" s="3" t="s">
        <v>12</v>
      </c>
      <c r="C5" s="4">
        <v>74.19</v>
      </c>
      <c r="D5" s="4">
        <v>70</v>
      </c>
      <c r="E5" s="4">
        <v>14.49</v>
      </c>
      <c r="F5" s="4">
        <v>9.5</v>
      </c>
      <c r="G5" s="5">
        <v>9617</v>
      </c>
      <c r="H5" s="4">
        <v>14.45</v>
      </c>
      <c r="I5" s="4">
        <v>6.03</v>
      </c>
    </row>
    <row r="6" spans="1:9" ht="18" customHeight="1" x14ac:dyDescent="0.35">
      <c r="A6" s="6">
        <v>2</v>
      </c>
      <c r="B6" s="7" t="s">
        <v>13</v>
      </c>
      <c r="C6" s="8">
        <v>73.819999999999993</v>
      </c>
      <c r="D6" s="8">
        <v>69.77</v>
      </c>
      <c r="E6" s="8">
        <v>13.43</v>
      </c>
      <c r="F6" s="8">
        <v>9.5399999999999991</v>
      </c>
      <c r="G6" s="9">
        <v>11399</v>
      </c>
      <c r="H6" s="8">
        <v>8.15</v>
      </c>
      <c r="I6" s="8">
        <v>5.89</v>
      </c>
    </row>
    <row r="7" spans="1:9" ht="18" customHeight="1" x14ac:dyDescent="0.35">
      <c r="A7" s="2">
        <v>3</v>
      </c>
      <c r="B7" s="3" t="s">
        <v>14</v>
      </c>
      <c r="C7" s="4">
        <v>73.8</v>
      </c>
      <c r="D7" s="4">
        <v>69.08</v>
      </c>
      <c r="E7" s="4">
        <v>14.07</v>
      </c>
      <c r="F7" s="4">
        <v>9.0500000000000007</v>
      </c>
      <c r="G7" s="5">
        <v>10629</v>
      </c>
      <c r="H7" s="4">
        <v>5.95</v>
      </c>
      <c r="I7" s="4">
        <v>5.69</v>
      </c>
    </row>
    <row r="8" spans="1:9" ht="18" customHeight="1" x14ac:dyDescent="0.35">
      <c r="A8" s="6">
        <v>4</v>
      </c>
      <c r="B8" s="7" t="s">
        <v>15</v>
      </c>
      <c r="C8" s="8">
        <v>73.59</v>
      </c>
      <c r="D8" s="8">
        <v>71</v>
      </c>
      <c r="E8" s="8">
        <v>13</v>
      </c>
      <c r="F8" s="8">
        <v>9.01</v>
      </c>
      <c r="G8" s="9">
        <v>12963</v>
      </c>
      <c r="H8" s="8">
        <v>6.76</v>
      </c>
      <c r="I8" s="8">
        <v>4.2</v>
      </c>
    </row>
    <row r="9" spans="1:9" ht="18" customHeight="1" x14ac:dyDescent="0.35">
      <c r="A9" s="2">
        <v>5</v>
      </c>
      <c r="B9" s="3" t="s">
        <v>16</v>
      </c>
      <c r="C9" s="4">
        <v>71.64</v>
      </c>
      <c r="D9" s="4">
        <v>70.97</v>
      </c>
      <c r="E9" s="4">
        <v>12.83</v>
      </c>
      <c r="F9" s="4">
        <v>8.44</v>
      </c>
      <c r="G9" s="5">
        <v>10478</v>
      </c>
      <c r="H9" s="4">
        <v>7.24</v>
      </c>
      <c r="I9" s="4">
        <v>4.58</v>
      </c>
    </row>
    <row r="10" spans="1:9" ht="18" customHeight="1" x14ac:dyDescent="0.35">
      <c r="A10" s="6">
        <v>6</v>
      </c>
      <c r="B10" s="7" t="s">
        <v>17</v>
      </c>
      <c r="C10" s="8">
        <v>70.900000000000006</v>
      </c>
      <c r="D10" s="8">
        <v>69.33</v>
      </c>
      <c r="E10" s="8">
        <v>12.49</v>
      </c>
      <c r="F10" s="8">
        <v>8.2100000000000009</v>
      </c>
      <c r="G10" s="9">
        <v>10312</v>
      </c>
      <c r="H10" s="8">
        <v>11.75</v>
      </c>
      <c r="I10" s="8">
        <v>4.9400000000000004</v>
      </c>
    </row>
    <row r="11" spans="1:9" ht="18" customHeight="1" x14ac:dyDescent="0.35">
      <c r="A11" s="2">
        <v>7</v>
      </c>
      <c r="B11" s="3" t="s">
        <v>18</v>
      </c>
      <c r="C11" s="4">
        <v>72.16</v>
      </c>
      <c r="D11" s="4">
        <v>69.349999999999994</v>
      </c>
      <c r="E11" s="4">
        <v>13.84</v>
      </c>
      <c r="F11" s="4">
        <v>8.7100000000000009</v>
      </c>
      <c r="G11" s="5">
        <v>9622</v>
      </c>
      <c r="H11" s="4">
        <v>14.01</v>
      </c>
      <c r="I11" s="4">
        <v>3.42</v>
      </c>
    </row>
    <row r="12" spans="1:9" ht="18" customHeight="1" x14ac:dyDescent="0.35">
      <c r="A12" s="6">
        <v>8</v>
      </c>
      <c r="B12" s="7" t="s">
        <v>19</v>
      </c>
      <c r="C12" s="8">
        <v>70.45</v>
      </c>
      <c r="D12" s="8">
        <v>70.790000000000006</v>
      </c>
      <c r="E12" s="8">
        <v>12.28</v>
      </c>
      <c r="F12" s="8">
        <v>7.97</v>
      </c>
      <c r="G12" s="9">
        <v>9813</v>
      </c>
      <c r="H12" s="8">
        <v>11.11</v>
      </c>
      <c r="I12" s="8">
        <v>4.2300000000000004</v>
      </c>
    </row>
    <row r="13" spans="1:9" ht="18" customHeight="1" x14ac:dyDescent="0.35">
      <c r="A13" s="2">
        <v>9</v>
      </c>
      <c r="B13" s="3" t="s">
        <v>20</v>
      </c>
      <c r="C13" s="4">
        <v>74.09</v>
      </c>
      <c r="D13" s="4">
        <v>70.55</v>
      </c>
      <c r="E13" s="4">
        <v>12.45</v>
      </c>
      <c r="F13" s="4">
        <v>8.35</v>
      </c>
      <c r="G13" s="5">
        <v>13065</v>
      </c>
      <c r="H13" s="4">
        <v>4.5199999999999996</v>
      </c>
      <c r="I13" s="4">
        <v>4.5599999999999996</v>
      </c>
    </row>
    <row r="14" spans="1:9" ht="18" customHeight="1" x14ac:dyDescent="0.35">
      <c r="A14" s="6">
        <v>10</v>
      </c>
      <c r="B14" s="7" t="s">
        <v>21</v>
      </c>
      <c r="C14" s="8">
        <v>79.08</v>
      </c>
      <c r="D14" s="8">
        <v>71.27</v>
      </c>
      <c r="E14" s="8">
        <v>13.92</v>
      </c>
      <c r="F14" s="8">
        <v>10.56</v>
      </c>
      <c r="G14" s="9">
        <v>16040</v>
      </c>
      <c r="H14" s="8">
        <v>6</v>
      </c>
      <c r="I14" s="8">
        <v>6.8</v>
      </c>
    </row>
    <row r="15" spans="1:9" ht="18" customHeight="1" x14ac:dyDescent="0.35">
      <c r="A15" s="2">
        <v>11</v>
      </c>
      <c r="B15" s="3" t="s">
        <v>22</v>
      </c>
      <c r="C15" s="4">
        <v>83.55</v>
      </c>
      <c r="D15" s="4">
        <v>73.739999999999995</v>
      </c>
      <c r="E15" s="4">
        <v>13.07</v>
      </c>
      <c r="F15" s="4">
        <v>11.27</v>
      </c>
      <c r="G15" s="5">
        <v>20255</v>
      </c>
      <c r="H15" s="4">
        <v>4.4400000000000004</v>
      </c>
      <c r="I15" s="4">
        <v>7.45</v>
      </c>
    </row>
    <row r="16" spans="1:9" ht="18" customHeight="1" x14ac:dyDescent="0.35">
      <c r="A16" s="6">
        <v>12</v>
      </c>
      <c r="B16" s="7" t="s">
        <v>23</v>
      </c>
      <c r="C16" s="8">
        <v>74.239999999999995</v>
      </c>
      <c r="D16" s="8">
        <v>73.34</v>
      </c>
      <c r="E16" s="8">
        <v>12.76</v>
      </c>
      <c r="F16" s="8">
        <v>8.76</v>
      </c>
      <c r="G16" s="9">
        <v>11456</v>
      </c>
      <c r="H16" s="8">
        <v>7.44</v>
      </c>
      <c r="I16" s="8">
        <v>7.44</v>
      </c>
    </row>
    <row r="17" spans="1:9" ht="18" customHeight="1" x14ac:dyDescent="0.35">
      <c r="A17" s="2">
        <v>13</v>
      </c>
      <c r="B17" s="3" t="s">
        <v>24</v>
      </c>
      <c r="C17" s="4">
        <v>73.22</v>
      </c>
      <c r="D17" s="4">
        <v>74.14</v>
      </c>
      <c r="E17" s="4">
        <v>12.7</v>
      </c>
      <c r="F17" s="4">
        <v>7.9</v>
      </c>
      <c r="G17" s="5">
        <v>10979</v>
      </c>
      <c r="H17" s="4">
        <v>10.77</v>
      </c>
      <c r="I17" s="4">
        <v>5.13</v>
      </c>
    </row>
    <row r="18" spans="1:9" ht="18" customHeight="1" x14ac:dyDescent="0.35">
      <c r="A18" s="6">
        <v>14</v>
      </c>
      <c r="B18" s="7" t="s">
        <v>25</v>
      </c>
      <c r="C18" s="8">
        <v>81.819999999999993</v>
      </c>
      <c r="D18" s="8">
        <v>74.8</v>
      </c>
      <c r="E18" s="8">
        <v>15.7</v>
      </c>
      <c r="F18" s="8">
        <v>10.16</v>
      </c>
      <c r="G18" s="9">
        <v>15020</v>
      </c>
      <c r="H18" s="8">
        <v>11.04</v>
      </c>
      <c r="I18" s="8">
        <v>3.62</v>
      </c>
    </row>
    <row r="19" spans="1:9" ht="18" customHeight="1" x14ac:dyDescent="0.35">
      <c r="A19" s="2">
        <v>15</v>
      </c>
      <c r="B19" s="3" t="s">
        <v>26</v>
      </c>
      <c r="C19" s="4">
        <v>74.650000000000006</v>
      </c>
      <c r="D19" s="4">
        <v>71.75</v>
      </c>
      <c r="E19" s="4">
        <v>13.02</v>
      </c>
      <c r="F19" s="4">
        <v>8.2200000000000006</v>
      </c>
      <c r="G19" s="5">
        <v>11936</v>
      </c>
      <c r="H19" s="4">
        <v>10.35</v>
      </c>
      <c r="I19" s="4">
        <v>4.88</v>
      </c>
    </row>
    <row r="20" spans="1:9" ht="18" customHeight="1" x14ac:dyDescent="0.35">
      <c r="A20" s="6">
        <v>16</v>
      </c>
      <c r="B20" s="7" t="s">
        <v>27</v>
      </c>
      <c r="C20" s="8">
        <v>73.59</v>
      </c>
      <c r="D20" s="8">
        <v>70.39</v>
      </c>
      <c r="E20" s="8">
        <v>13.07</v>
      </c>
      <c r="F20" s="8">
        <v>8.9499999999999993</v>
      </c>
      <c r="G20" s="9">
        <v>12673</v>
      </c>
      <c r="H20" s="8">
        <v>6.17</v>
      </c>
      <c r="I20" s="8">
        <v>7.52</v>
      </c>
    </row>
    <row r="21" spans="1:9" ht="18" customHeight="1" x14ac:dyDescent="0.35">
      <c r="A21" s="2">
        <v>17</v>
      </c>
      <c r="B21" s="3" t="s">
        <v>28</v>
      </c>
      <c r="C21" s="4">
        <v>76.44</v>
      </c>
      <c r="D21" s="4">
        <v>72.52</v>
      </c>
      <c r="E21" s="4">
        <v>13.35</v>
      </c>
      <c r="F21" s="4">
        <v>9.1</v>
      </c>
      <c r="G21" s="5">
        <v>14360</v>
      </c>
      <c r="H21" s="4">
        <v>4.25</v>
      </c>
      <c r="I21" s="4">
        <v>2.69</v>
      </c>
    </row>
    <row r="22" spans="1:9" ht="18" customHeight="1" x14ac:dyDescent="0.35">
      <c r="A22" s="6">
        <v>18</v>
      </c>
      <c r="B22" s="7" t="s">
        <v>29</v>
      </c>
      <c r="C22" s="8">
        <v>68.650000000000006</v>
      </c>
      <c r="D22" s="8">
        <v>66.38</v>
      </c>
      <c r="E22" s="8">
        <v>13.58</v>
      </c>
      <c r="F22" s="8">
        <v>7.4</v>
      </c>
      <c r="G22" s="9">
        <v>8774</v>
      </c>
      <c r="H22" s="8">
        <v>13.85</v>
      </c>
      <c r="I22" s="8">
        <v>2.8</v>
      </c>
    </row>
    <row r="23" spans="1:9" ht="18" customHeight="1" x14ac:dyDescent="0.35">
      <c r="A23" s="2">
        <v>19</v>
      </c>
      <c r="B23" s="3" t="s">
        <v>30</v>
      </c>
      <c r="C23" s="4">
        <v>62.25</v>
      </c>
      <c r="D23" s="4">
        <v>65.28</v>
      </c>
      <c r="E23" s="4">
        <v>13.23</v>
      </c>
      <c r="F23" s="4">
        <v>7.28</v>
      </c>
      <c r="G23" s="5">
        <v>7047</v>
      </c>
      <c r="H23" s="4">
        <v>19.96</v>
      </c>
      <c r="I23" s="4">
        <v>3.42</v>
      </c>
    </row>
    <row r="24" spans="1:9" ht="18" customHeight="1" x14ac:dyDescent="0.35">
      <c r="A24" s="6">
        <v>20</v>
      </c>
      <c r="B24" s="7" t="s">
        <v>31</v>
      </c>
      <c r="C24" s="8">
        <v>68.63</v>
      </c>
      <c r="D24" s="8">
        <v>70.06</v>
      </c>
      <c r="E24" s="8">
        <v>12.48</v>
      </c>
      <c r="F24" s="8">
        <v>7.39</v>
      </c>
      <c r="G24" s="9">
        <v>9583</v>
      </c>
      <c r="H24" s="8">
        <v>6.83</v>
      </c>
      <c r="I24" s="8">
        <v>3.71</v>
      </c>
    </row>
    <row r="25" spans="1:9" ht="18" customHeight="1" x14ac:dyDescent="0.35">
      <c r="A25" s="2">
        <v>21</v>
      </c>
      <c r="B25" s="3" t="s">
        <v>32</v>
      </c>
      <c r="C25" s="4">
        <v>72.22</v>
      </c>
      <c r="D25" s="4">
        <v>70.17</v>
      </c>
      <c r="E25" s="4">
        <v>12.7</v>
      </c>
      <c r="F25" s="4">
        <v>8.51</v>
      </c>
      <c r="G25" s="5">
        <v>11750</v>
      </c>
      <c r="H25" s="4">
        <v>5.2</v>
      </c>
      <c r="I25" s="4">
        <v>3.8</v>
      </c>
    </row>
    <row r="26" spans="1:9" ht="18" customHeight="1" x14ac:dyDescent="0.35">
      <c r="A26" s="6">
        <v>22</v>
      </c>
      <c r="B26" s="7" t="s">
        <v>33</v>
      </c>
      <c r="C26" s="8">
        <v>72.11</v>
      </c>
      <c r="D26" s="8">
        <v>68.05</v>
      </c>
      <c r="E26" s="8">
        <v>12.72</v>
      </c>
      <c r="F26" s="8">
        <v>8.3000000000000007</v>
      </c>
      <c r="G26" s="9">
        <v>11580</v>
      </c>
      <c r="H26" s="8">
        <v>4.47</v>
      </c>
      <c r="I26" s="8">
        <v>4.01</v>
      </c>
    </row>
    <row r="27" spans="1:9" ht="18" customHeight="1" x14ac:dyDescent="0.35">
      <c r="A27" s="2">
        <v>23</v>
      </c>
      <c r="B27" s="3" t="s">
        <v>34</v>
      </c>
      <c r="C27" s="4">
        <v>78.260000000000005</v>
      </c>
      <c r="D27" s="4">
        <v>74.09</v>
      </c>
      <c r="E27" s="4">
        <v>13.89</v>
      </c>
      <c r="F27" s="4">
        <v>9.98</v>
      </c>
      <c r="G27" s="5">
        <v>15547</v>
      </c>
      <c r="H27" s="4">
        <v>6.37</v>
      </c>
      <c r="I27" s="4">
        <v>5.23</v>
      </c>
    </row>
    <row r="28" spans="1:9" ht="18" customHeight="1" x14ac:dyDescent="0.35">
      <c r="A28" s="6">
        <v>24</v>
      </c>
      <c r="B28" s="7" t="s">
        <v>35</v>
      </c>
      <c r="C28" s="8">
        <v>72.08</v>
      </c>
      <c r="D28" s="8">
        <v>71.45</v>
      </c>
      <c r="E28" s="8">
        <v>13.1</v>
      </c>
      <c r="F28" s="8">
        <v>9.07</v>
      </c>
      <c r="G28" s="9">
        <v>12158</v>
      </c>
      <c r="H28" s="8">
        <v>6.65</v>
      </c>
      <c r="I28" s="8">
        <v>4.01</v>
      </c>
    </row>
    <row r="29" spans="1:9" ht="18" customHeight="1" x14ac:dyDescent="0.35">
      <c r="A29" s="2">
        <v>25</v>
      </c>
      <c r="B29" s="3" t="s">
        <v>36</v>
      </c>
      <c r="C29" s="4">
        <v>74.39</v>
      </c>
      <c r="D29" s="4">
        <v>71.42</v>
      </c>
      <c r="E29" s="4">
        <v>13.45</v>
      </c>
      <c r="F29" s="4">
        <v>9.34</v>
      </c>
      <c r="G29" s="5">
        <v>10760</v>
      </c>
      <c r="H29" s="4">
        <v>7.29</v>
      </c>
      <c r="I29" s="4">
        <v>6.17</v>
      </c>
    </row>
    <row r="30" spans="1:9" ht="18" customHeight="1" x14ac:dyDescent="0.35">
      <c r="A30" s="6">
        <v>26</v>
      </c>
      <c r="B30" s="7" t="s">
        <v>37</v>
      </c>
      <c r="C30" s="8">
        <v>70.540000000000006</v>
      </c>
      <c r="D30" s="8">
        <v>67.66</v>
      </c>
      <c r="E30" s="8">
        <v>13.01</v>
      </c>
      <c r="F30" s="8">
        <v>8.52</v>
      </c>
      <c r="G30" s="9">
        <v>9432</v>
      </c>
      <c r="H30" s="8">
        <v>12.3</v>
      </c>
      <c r="I30" s="8">
        <v>2.95</v>
      </c>
    </row>
    <row r="31" spans="1:9" ht="18" customHeight="1" x14ac:dyDescent="0.35">
      <c r="A31" s="2">
        <v>27</v>
      </c>
      <c r="B31" s="3" t="s">
        <v>38</v>
      </c>
      <c r="C31" s="4">
        <v>72.819999999999993</v>
      </c>
      <c r="D31" s="4">
        <v>70.260000000000005</v>
      </c>
      <c r="E31" s="4">
        <v>13.31</v>
      </c>
      <c r="F31" s="4">
        <v>8.1300000000000008</v>
      </c>
      <c r="G31" s="5">
        <v>10513</v>
      </c>
      <c r="H31" s="4">
        <v>8.6999999999999993</v>
      </c>
      <c r="I31" s="4">
        <v>4.3</v>
      </c>
    </row>
    <row r="32" spans="1:9" ht="18" customHeight="1" x14ac:dyDescent="0.35">
      <c r="A32" s="6">
        <v>28</v>
      </c>
      <c r="B32" s="7" t="s">
        <v>39</v>
      </c>
      <c r="C32" s="8">
        <v>72.44</v>
      </c>
      <c r="D32" s="8">
        <v>70.92</v>
      </c>
      <c r="E32" s="8">
        <v>14.08</v>
      </c>
      <c r="F32" s="8">
        <v>8.76</v>
      </c>
      <c r="G32" s="9">
        <v>9413</v>
      </c>
      <c r="H32" s="8">
        <v>11.4</v>
      </c>
      <c r="I32" s="8">
        <v>3.06</v>
      </c>
    </row>
    <row r="33" spans="1:9" ht="18" customHeight="1" x14ac:dyDescent="0.35">
      <c r="A33" s="2">
        <v>29</v>
      </c>
      <c r="B33" s="3" t="s">
        <v>40</v>
      </c>
      <c r="C33" s="4">
        <v>69.81</v>
      </c>
      <c r="D33" s="4">
        <v>66.94</v>
      </c>
      <c r="E33" s="4">
        <v>13.11</v>
      </c>
      <c r="F33" s="4">
        <v>8.16</v>
      </c>
      <c r="G33" s="5">
        <v>8626</v>
      </c>
      <c r="H33" s="4">
        <v>15.25</v>
      </c>
      <c r="I33" s="4">
        <v>3.63</v>
      </c>
    </row>
    <row r="34" spans="1:9" ht="18" customHeight="1" x14ac:dyDescent="0.35">
      <c r="A34" s="6">
        <v>30</v>
      </c>
      <c r="B34" s="7" t="s">
        <v>41</v>
      </c>
      <c r="C34" s="8">
        <v>67.55</v>
      </c>
      <c r="D34" s="8">
        <v>63.62</v>
      </c>
      <c r="E34" s="8">
        <v>12.85</v>
      </c>
      <c r="F34" s="8">
        <v>7.93</v>
      </c>
      <c r="G34" s="9">
        <v>8494</v>
      </c>
      <c r="H34" s="8">
        <v>11.31</v>
      </c>
      <c r="I34" s="8">
        <v>2.44</v>
      </c>
    </row>
    <row r="35" spans="1:9" ht="18" customHeight="1" x14ac:dyDescent="0.35">
      <c r="A35" s="2">
        <v>31</v>
      </c>
      <c r="B35" s="3" t="s">
        <v>42</v>
      </c>
      <c r="C35" s="4">
        <v>71.73</v>
      </c>
      <c r="D35" s="4">
        <v>66.02</v>
      </c>
      <c r="E35" s="4">
        <v>14.45</v>
      </c>
      <c r="F35" s="4">
        <v>9.68</v>
      </c>
      <c r="G35" s="5">
        <v>9078</v>
      </c>
      <c r="H35" s="4">
        <v>16.23</v>
      </c>
      <c r="I35" s="4">
        <v>6.31</v>
      </c>
    </row>
    <row r="36" spans="1:9" ht="18" customHeight="1" x14ac:dyDescent="0.35">
      <c r="A36" s="6">
        <v>32</v>
      </c>
      <c r="B36" s="7" t="s">
        <v>43</v>
      </c>
      <c r="C36" s="8">
        <v>70.53</v>
      </c>
      <c r="D36" s="8">
        <v>67.38</v>
      </c>
      <c r="E36" s="8">
        <v>14.06</v>
      </c>
      <c r="F36" s="8">
        <v>9.24</v>
      </c>
      <c r="G36" s="9">
        <v>8938</v>
      </c>
      <c r="H36" s="8">
        <v>6.97</v>
      </c>
      <c r="I36" s="8">
        <v>3.99</v>
      </c>
    </row>
    <row r="37" spans="1:9" ht="18" customHeight="1" x14ac:dyDescent="0.35">
      <c r="A37" s="2">
        <v>33</v>
      </c>
      <c r="B37" s="3" t="s">
        <v>44</v>
      </c>
      <c r="C37" s="4">
        <v>65.52</v>
      </c>
      <c r="D37" s="4">
        <v>65.33</v>
      </c>
      <c r="E37" s="4">
        <v>13.37</v>
      </c>
      <c r="F37" s="4">
        <v>8.07</v>
      </c>
      <c r="G37" s="5">
        <v>8022</v>
      </c>
      <c r="H37" s="4">
        <v>21.33</v>
      </c>
      <c r="I37" s="4">
        <v>5.04</v>
      </c>
    </row>
    <row r="38" spans="1:9" ht="18" customHeight="1" x14ac:dyDescent="0.35">
      <c r="A38" s="6">
        <v>34</v>
      </c>
      <c r="B38" s="7" t="s">
        <v>45</v>
      </c>
      <c r="C38" s="8">
        <v>61.39</v>
      </c>
      <c r="D38" s="8">
        <v>64.7</v>
      </c>
      <c r="E38" s="8">
        <v>11.25</v>
      </c>
      <c r="F38" s="8">
        <v>6.15</v>
      </c>
      <c r="G38" s="9">
        <v>7091</v>
      </c>
      <c r="H38" s="8">
        <v>26.03</v>
      </c>
      <c r="I38" s="8">
        <v>3.58</v>
      </c>
    </row>
    <row r="39" spans="1:9" ht="20" customHeight="1" x14ac:dyDescent="0.35">
      <c r="A39" s="10"/>
      <c r="B39" s="11" t="s">
        <v>46</v>
      </c>
      <c r="C39" s="12">
        <f t="shared" ref="C39:I39" si="0">AVERAGE(C5:C38)</f>
        <v>72.41617647058824</v>
      </c>
      <c r="D39" s="12">
        <f t="shared" si="0"/>
        <v>69.779999999999987</v>
      </c>
      <c r="E39" s="12">
        <f t="shared" si="0"/>
        <v>13.267941176470588</v>
      </c>
      <c r="F39" s="12">
        <f t="shared" si="0"/>
        <v>8.6944117647058814</v>
      </c>
      <c r="G39" s="13">
        <f t="shared" si="0"/>
        <v>11100.676470588236</v>
      </c>
      <c r="H39" s="12">
        <f t="shared" si="0"/>
        <v>10.133529411764705</v>
      </c>
      <c r="I39" s="12">
        <f t="shared" si="0"/>
        <v>4.6329411764705881</v>
      </c>
    </row>
    <row r="41" spans="1:9" x14ac:dyDescent="0.35">
      <c r="A41" s="14" t="s">
        <v>47</v>
      </c>
    </row>
    <row r="42" spans="1:9" x14ac:dyDescent="0.35">
      <c r="A42" s="21" t="s">
        <v>48</v>
      </c>
      <c r="B42" s="22"/>
      <c r="C42" s="22"/>
      <c r="D42" s="22"/>
      <c r="E42" s="22"/>
      <c r="F42" s="22"/>
      <c r="G42" s="22"/>
      <c r="H42" s="22"/>
      <c r="I42" s="22"/>
    </row>
    <row r="43" spans="1:9" x14ac:dyDescent="0.35">
      <c r="A43" s="21" t="s">
        <v>49</v>
      </c>
      <c r="B43" s="22"/>
      <c r="C43" s="22"/>
      <c r="D43" s="22"/>
      <c r="E43" s="22"/>
      <c r="F43" s="22"/>
      <c r="G43" s="22"/>
      <c r="H43" s="22"/>
      <c r="I43" s="22"/>
    </row>
    <row r="44" spans="1:9" x14ac:dyDescent="0.35">
      <c r="A44" s="21" t="s">
        <v>50</v>
      </c>
      <c r="B44" s="22"/>
      <c r="C44" s="22"/>
      <c r="D44" s="22"/>
      <c r="E44" s="22"/>
      <c r="F44" s="22"/>
      <c r="G44" s="22"/>
      <c r="H44" s="22"/>
      <c r="I44" s="22"/>
    </row>
    <row r="45" spans="1:9" x14ac:dyDescent="0.35">
      <c r="A45" s="21" t="s">
        <v>51</v>
      </c>
      <c r="B45" s="22"/>
      <c r="C45" s="22"/>
      <c r="D45" s="22"/>
      <c r="E45" s="22"/>
      <c r="F45" s="22"/>
      <c r="G45" s="22"/>
      <c r="H45" s="22"/>
      <c r="I45" s="22"/>
    </row>
    <row r="46" spans="1:9" x14ac:dyDescent="0.35">
      <c r="A46" s="21" t="s">
        <v>52</v>
      </c>
      <c r="B46" s="22"/>
      <c r="C46" s="22"/>
      <c r="D46" s="22"/>
      <c r="E46" s="22"/>
      <c r="F46" s="22"/>
      <c r="G46" s="22"/>
      <c r="H46" s="22"/>
      <c r="I46" s="22"/>
    </row>
    <row r="47" spans="1:9" x14ac:dyDescent="0.35">
      <c r="A47" s="21" t="s">
        <v>53</v>
      </c>
      <c r="B47" s="22"/>
      <c r="C47" s="22"/>
      <c r="D47" s="22"/>
      <c r="E47" s="22"/>
      <c r="F47" s="22"/>
      <c r="G47" s="22"/>
      <c r="H47" s="22"/>
      <c r="I47" s="22"/>
    </row>
    <row r="48" spans="1:9" x14ac:dyDescent="0.35">
      <c r="A48" s="21" t="s">
        <v>54</v>
      </c>
      <c r="B48" s="22"/>
      <c r="C48" s="22"/>
      <c r="D48" s="22"/>
      <c r="E48" s="22"/>
      <c r="F48" s="22"/>
      <c r="G48" s="22"/>
      <c r="H48" s="22"/>
      <c r="I48" s="22"/>
    </row>
  </sheetData>
  <mergeCells count="10">
    <mergeCell ref="A1:I1"/>
    <mergeCell ref="A45:I45"/>
    <mergeCell ref="A3:I3"/>
    <mergeCell ref="A48:I48"/>
    <mergeCell ref="A43:I43"/>
    <mergeCell ref="A2:I2"/>
    <mergeCell ref="A47:I47"/>
    <mergeCell ref="A42:I42"/>
    <mergeCell ref="A46:I46"/>
    <mergeCell ref="A44:I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4" sqref="D4"/>
    </sheetView>
  </sheetViews>
  <sheetFormatPr defaultRowHeight="14.5" x14ac:dyDescent="0.35"/>
  <cols>
    <col min="1" max="8" width="18" customWidth="1"/>
  </cols>
  <sheetData>
    <row r="1" spans="1:8" ht="26" customHeight="1" x14ac:dyDescent="0.35">
      <c r="A1" s="25" t="s">
        <v>55</v>
      </c>
      <c r="B1" s="22"/>
      <c r="C1" s="22"/>
      <c r="D1" s="22"/>
      <c r="E1" s="22"/>
      <c r="F1" s="22"/>
      <c r="G1" s="22"/>
      <c r="H1" s="22"/>
    </row>
    <row r="2" spans="1:8" ht="40" customHeight="1" x14ac:dyDescent="0.3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</row>
    <row r="3" spans="1:8" ht="18" customHeight="1" x14ac:dyDescent="0.35">
      <c r="A3" s="16" t="s">
        <v>64</v>
      </c>
      <c r="B3" s="4">
        <v>34</v>
      </c>
      <c r="C3" s="4">
        <v>34</v>
      </c>
      <c r="D3" s="4">
        <v>34</v>
      </c>
      <c r="E3" s="4">
        <v>34</v>
      </c>
      <c r="F3" s="5">
        <v>34</v>
      </c>
      <c r="G3" s="4">
        <v>34</v>
      </c>
      <c r="H3" s="4">
        <v>34</v>
      </c>
    </row>
    <row r="4" spans="1:8" ht="18" customHeight="1" x14ac:dyDescent="0.35">
      <c r="A4" s="17" t="s">
        <v>46</v>
      </c>
      <c r="B4" s="8">
        <f>AVERAGE('Data IPM 2023'!C5:C38)</f>
        <v>72.41617647058824</v>
      </c>
      <c r="C4" s="8">
        <f>AVERAGE('Data IPM 2023'!D5:D38)</f>
        <v>69.779999999999987</v>
      </c>
      <c r="D4" s="8">
        <f>AVERAGE('Data IPM 2023'!E5:E38)</f>
        <v>13.267941176470588</v>
      </c>
      <c r="E4" s="8">
        <f>AVERAGE('Data IPM 2023'!F5:F38)</f>
        <v>8.6944117647058814</v>
      </c>
      <c r="F4" s="9">
        <f>AVERAGE('Data IPM 2023'!G5:G38)</f>
        <v>11100.676470588236</v>
      </c>
      <c r="G4" s="8">
        <f>AVERAGE('Data IPM 2023'!H5:H38)</f>
        <v>10.133529411764705</v>
      </c>
      <c r="H4" s="8">
        <f>AVERAGE('Data IPM 2023'!I5:I38)</f>
        <v>4.6329411764705881</v>
      </c>
    </row>
    <row r="5" spans="1:8" ht="18" customHeight="1" x14ac:dyDescent="0.35">
      <c r="A5" s="16" t="s">
        <v>65</v>
      </c>
      <c r="B5" s="4">
        <f>MAX('Data IPM 2023'!C5:C38)</f>
        <v>83.55</v>
      </c>
      <c r="C5" s="4">
        <f>MAX('Data IPM 2023'!D5:D38)</f>
        <v>74.8</v>
      </c>
      <c r="D5" s="4">
        <f>MAX('Data IPM 2023'!E5:E38)</f>
        <v>15.7</v>
      </c>
      <c r="E5" s="4">
        <f>MAX('Data IPM 2023'!F5:F38)</f>
        <v>11.27</v>
      </c>
      <c r="F5" s="5">
        <f>MAX('Data IPM 2023'!G5:G38)</f>
        <v>20255</v>
      </c>
      <c r="G5" s="4">
        <f>MAX('Data IPM 2023'!H5:H38)</f>
        <v>26.03</v>
      </c>
      <c r="H5" s="4">
        <f>MAX('Data IPM 2023'!I5:I38)</f>
        <v>7.52</v>
      </c>
    </row>
    <row r="6" spans="1:8" ht="18" customHeight="1" x14ac:dyDescent="0.35">
      <c r="A6" s="17" t="s">
        <v>66</v>
      </c>
      <c r="B6" s="8">
        <f>MIN('Data IPM 2023'!C5:C38)</f>
        <v>61.39</v>
      </c>
      <c r="C6" s="8">
        <f>MIN('Data IPM 2023'!D5:D38)</f>
        <v>63.62</v>
      </c>
      <c r="D6" s="8">
        <f>MIN('Data IPM 2023'!E5:E38)</f>
        <v>11.25</v>
      </c>
      <c r="E6" s="8">
        <f>MIN('Data IPM 2023'!F5:F38)</f>
        <v>6.15</v>
      </c>
      <c r="F6" s="9">
        <f>MIN('Data IPM 2023'!G5:G38)</f>
        <v>7047</v>
      </c>
      <c r="G6" s="8">
        <f>MIN('Data IPM 2023'!H5:H38)</f>
        <v>4.25</v>
      </c>
      <c r="H6" s="8">
        <f>MIN('Data IPM 2023'!I5:I38)</f>
        <v>2.44</v>
      </c>
    </row>
    <row r="7" spans="1:8" ht="18" customHeight="1" x14ac:dyDescent="0.35">
      <c r="A7" s="16" t="s">
        <v>67</v>
      </c>
      <c r="B7" s="4">
        <f>STDEV('Data IPM 2023'!C5:C38)</f>
        <v>4.5355698681114474</v>
      </c>
      <c r="C7" s="4">
        <f>STDEV('Data IPM 2023'!D5:D38)</f>
        <v>2.8530653371736552</v>
      </c>
      <c r="D7" s="4">
        <f>STDEV('Data IPM 2023'!E5:E38)</f>
        <v>0.79575685113727257</v>
      </c>
      <c r="E7" s="4">
        <f>STDEV('Data IPM 2023'!F5:F38)</f>
        <v>1.0002914459431953</v>
      </c>
      <c r="F7" s="5">
        <f>STDEV('Data IPM 2023'!G5:G38)</f>
        <v>2759.0788506815229</v>
      </c>
      <c r="G7" s="4">
        <f>STDEV('Data IPM 2023'!H5:H38)</f>
        <v>5.1976590781858851</v>
      </c>
      <c r="H7" s="4">
        <f>STDEV('Data IPM 2023'!I5:I38)</f>
        <v>1.4156346246028091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B15" sqref="B15"/>
    </sheetView>
  </sheetViews>
  <sheetFormatPr defaultRowHeight="14.5" x14ac:dyDescent="0.35"/>
  <cols>
    <col min="1" max="1" width="22" customWidth="1"/>
    <col min="2" max="2" width="38" customWidth="1"/>
    <col min="3" max="3" width="14" customWidth="1"/>
    <col min="4" max="4" width="45" customWidth="1"/>
  </cols>
  <sheetData>
    <row r="1" spans="1:4" ht="26" customHeight="1" x14ac:dyDescent="0.35">
      <c r="A1" s="25" t="s">
        <v>68</v>
      </c>
      <c r="B1" s="22"/>
      <c r="C1" s="22"/>
      <c r="D1" s="22"/>
    </row>
    <row r="2" spans="1:4" ht="30" customHeight="1" x14ac:dyDescent="0.35">
      <c r="A2" s="1" t="s">
        <v>69</v>
      </c>
      <c r="B2" s="1" t="s">
        <v>70</v>
      </c>
      <c r="C2" s="1" t="s">
        <v>71</v>
      </c>
      <c r="D2" s="1" t="s">
        <v>72</v>
      </c>
    </row>
    <row r="3" spans="1:4" ht="36" customHeight="1" x14ac:dyDescent="0.35">
      <c r="A3" s="18" t="s">
        <v>73</v>
      </c>
      <c r="B3" s="18" t="s">
        <v>74</v>
      </c>
      <c r="C3" s="18" t="s">
        <v>75</v>
      </c>
      <c r="D3" s="18" t="s">
        <v>76</v>
      </c>
    </row>
    <row r="4" spans="1:4" ht="36" customHeight="1" x14ac:dyDescent="0.35">
      <c r="A4" s="19" t="s">
        <v>77</v>
      </c>
      <c r="B4" s="19" t="s">
        <v>78</v>
      </c>
      <c r="C4" s="19" t="s">
        <v>75</v>
      </c>
      <c r="D4" s="19" t="s">
        <v>79</v>
      </c>
    </row>
    <row r="5" spans="1:4" ht="36" customHeight="1" x14ac:dyDescent="0.35">
      <c r="A5" s="18" t="s">
        <v>80</v>
      </c>
      <c r="B5" s="18" t="s">
        <v>81</v>
      </c>
      <c r="C5" s="18" t="s">
        <v>75</v>
      </c>
      <c r="D5" s="18" t="s">
        <v>82</v>
      </c>
    </row>
    <row r="6" spans="1:4" ht="36" customHeight="1" x14ac:dyDescent="0.35">
      <c r="A6" s="19" t="s">
        <v>83</v>
      </c>
      <c r="B6" s="19" t="s">
        <v>84</v>
      </c>
      <c r="C6" s="19" t="s">
        <v>75</v>
      </c>
      <c r="D6" s="19" t="s">
        <v>85</v>
      </c>
    </row>
    <row r="7" spans="1:4" ht="36" customHeight="1" x14ac:dyDescent="0.35">
      <c r="A7" s="18" t="s">
        <v>86</v>
      </c>
      <c r="B7" s="18" t="s">
        <v>87</v>
      </c>
      <c r="C7" s="18" t="s">
        <v>75</v>
      </c>
      <c r="D7" s="18" t="s">
        <v>85</v>
      </c>
    </row>
    <row r="8" spans="1:4" ht="36" customHeight="1" x14ac:dyDescent="0.35">
      <c r="A8" s="19" t="s">
        <v>88</v>
      </c>
      <c r="B8" s="19" t="s">
        <v>89</v>
      </c>
      <c r="C8" s="19" t="s">
        <v>90</v>
      </c>
      <c r="D8" s="19" t="s">
        <v>91</v>
      </c>
    </row>
    <row r="9" spans="1:4" ht="36" customHeight="1" x14ac:dyDescent="0.35">
      <c r="A9" s="18" t="s">
        <v>92</v>
      </c>
      <c r="B9" s="18" t="s">
        <v>93</v>
      </c>
      <c r="C9" s="18" t="s">
        <v>94</v>
      </c>
      <c r="D9" s="18" t="s">
        <v>95</v>
      </c>
    </row>
    <row r="11" spans="1:4" ht="16" customHeight="1" x14ac:dyDescent="0.35">
      <c r="A11" s="20"/>
    </row>
    <row r="12" spans="1:4" ht="15" customHeight="1" x14ac:dyDescent="0.35">
      <c r="A12" s="15"/>
    </row>
    <row r="13" spans="1:4" ht="15" customHeight="1" x14ac:dyDescent="0.35">
      <c r="A13" s="15"/>
    </row>
    <row r="14" spans="1:4" ht="15" customHeight="1" x14ac:dyDescent="0.35">
      <c r="A14" s="15"/>
    </row>
    <row r="15" spans="1:4" ht="15" customHeight="1" x14ac:dyDescent="0.35">
      <c r="A15" s="15"/>
    </row>
    <row r="16" spans="1:4" ht="15" customHeight="1" x14ac:dyDescent="0.35">
      <c r="A16" s="1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IPM 2023</vt:lpstr>
      <vt:lpstr>Statistik Deskriptif</vt:lpstr>
      <vt:lpstr>Panduan &amp; Sumber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MAULANA FIRDAUS</cp:lastModifiedBy>
  <dcterms:created xsi:type="dcterms:W3CDTF">2026-02-23T16:28:03Z</dcterms:created>
  <dcterms:modified xsi:type="dcterms:W3CDTF">2026-02-24T06:42:04Z</dcterms:modified>
</cp:coreProperties>
</file>